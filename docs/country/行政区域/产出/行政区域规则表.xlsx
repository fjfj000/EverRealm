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政区域规则" sheetId="1" state="visible" r:id="rId1"/>
    <sheet xmlns:r="http://schemas.openxmlformats.org/officeDocument/2006/relationships" name="兵种强度" sheetId="2" state="visible" r:id="rId2"/>
    <sheet xmlns:r="http://schemas.openxmlformats.org/officeDocument/2006/relationships" name="城市数据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b val="1"/>
      <color rgb="00FFFFFF"/>
      <sz val="10"/>
    </font>
    <font>
      <name val="微软雅黑"/>
      <b val="1"/>
      <color rgb="001F2A36"/>
      <sz val="10"/>
    </font>
    <font>
      <name val="微软雅黑"/>
      <color rgb="001F2A36"/>
      <sz val="10"/>
    </font>
    <font>
      <name val="微软雅黑"/>
      <color rgb="005A6A78"/>
      <sz val="9"/>
    </font>
  </fonts>
  <fills count="8">
    <fill>
      <patternFill/>
    </fill>
    <fill>
      <patternFill patternType="gray125"/>
    </fill>
    <fill>
      <patternFill patternType="solid">
        <fgColor rgb="00B3402A"/>
      </patternFill>
    </fill>
    <fill>
      <patternFill patternType="solid">
        <fgColor rgb="0028333E"/>
      </patternFill>
    </fill>
    <fill>
      <patternFill patternType="solid">
        <fgColor rgb="0034495E"/>
      </patternFill>
    </fill>
    <fill>
      <patternFill patternType="solid">
        <fgColor rgb="00EAF2FB"/>
      </patternFill>
    </fill>
    <fill>
      <patternFill patternType="solid">
        <fgColor rgb="00FFF3D9"/>
      </patternFill>
    </fill>
    <fill>
      <patternFill patternType="solid">
        <fgColor rgb="00F4F6F8"/>
      </patternFill>
    </fill>
  </fills>
  <borders count="6">
    <border>
      <left/>
      <right/>
      <top/>
      <bottom/>
      <diagonal/>
    </border>
    <border>
      <left style="thin">
        <color rgb="00C7D0D8"/>
      </left>
      <right style="thin">
        <color rgb="00C7D0D8"/>
      </right>
      <top style="thin">
        <color rgb="00C7D0D8"/>
      </top>
      <bottom style="thin">
        <color rgb="00C7D0D8"/>
      </bottom>
    </border>
    <border>
      <left/>
      <right/>
      <top style="thin">
        <color rgb="00C7D0D8"/>
      </top>
      <bottom/>
      <diagonal/>
    </border>
    <border>
      <left/>
      <right style="thin">
        <color rgb="00C7D0D8"/>
      </right>
      <top style="thin">
        <color rgb="00C7D0D8"/>
      </top>
      <bottom/>
      <diagonal/>
    </border>
    <border>
      <left/>
      <right/>
      <top style="thin">
        <color rgb="00C7D0D8"/>
      </top>
      <bottom style="thin">
        <color rgb="00C7D0D8"/>
      </bottom>
      <diagonal/>
    </border>
    <border>
      <left/>
      <right style="thin">
        <color rgb="00C7D0D8"/>
      </right>
      <top style="thin">
        <color rgb="00C7D0D8"/>
      </top>
      <bottom style="thin">
        <color rgb="00C7D0D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1" customWidth="1" min="14" max="14"/>
  </cols>
  <sheetData>
    <row r="1" ht="26" customHeight="1">
      <c r="A1" s="1" t="inlineStr">
        <is>
          <t>行政区域规则表（按中国国土960万km²推算；蓝底格为可编辑输入，黄底格为公式自动计算）</t>
        </is>
      </c>
    </row>
    <row r="3">
      <c r="A3" s="2" t="inlineStr">
        <is>
          <t>区块一 · 各级直接上限/下限（编辑输入）</t>
        </is>
      </c>
      <c r="I3" s="2" t="inlineStr">
        <is>
          <t>区块二 · 前级为后级倍率（=后项/前项，自动算）</t>
        </is>
      </c>
    </row>
    <row r="4" ht="20" customHeight="1">
      <c r="A4" s="3" t="inlineStr">
        <is>
          <t>指标</t>
        </is>
      </c>
      <c r="B4" s="3" t="inlineStr">
        <is>
          <t>里/村C1</t>
        </is>
      </c>
      <c r="C4" s="3" t="inlineStr">
        <is>
          <t>乡C2</t>
        </is>
      </c>
      <c r="D4" s="3" t="inlineStr">
        <is>
          <t>县C3</t>
        </is>
      </c>
      <c r="E4" s="3" t="inlineStr">
        <is>
          <t>郡/国C4</t>
        </is>
      </c>
      <c r="F4" s="3" t="inlineStr">
        <is>
          <t>京畿C5</t>
        </is>
      </c>
      <c r="G4" s="3" t="inlineStr">
        <is>
          <t>要塞C6</t>
        </is>
      </c>
      <c r="I4" s="3" t="inlineStr">
        <is>
          <t>里/村C1</t>
        </is>
      </c>
      <c r="J4" s="3" t="inlineStr">
        <is>
          <t>乡C2</t>
        </is>
      </c>
      <c r="K4" s="3" t="inlineStr">
        <is>
          <t>县C3</t>
        </is>
      </c>
      <c r="L4" s="3" t="inlineStr">
        <is>
          <t>郡/国C4</t>
        </is>
      </c>
      <c r="M4" s="3" t="inlineStr">
        <is>
          <t>京畿C5</t>
        </is>
      </c>
      <c r="N4" s="3" t="inlineStr">
        <is>
          <t>要塞C6</t>
        </is>
      </c>
    </row>
    <row r="5">
      <c r="A5" s="4" t="inlineStr">
        <is>
          <t>人数下限</t>
        </is>
      </c>
      <c r="B5" s="5" t="n">
        <v>500</v>
      </c>
      <c r="C5" s="6" t="n">
        <v>1000</v>
      </c>
      <c r="D5" s="5" t="n">
        <v>3000</v>
      </c>
      <c r="E5" s="6" t="n">
        <v>15000</v>
      </c>
      <c r="F5" s="5" t="n">
        <v>12000</v>
      </c>
      <c r="G5" s="6" t="n">
        <v>3000</v>
      </c>
      <c r="I5" s="7" t="n">
        <v>1</v>
      </c>
      <c r="J5" s="7">
        <f>C5/B5</f>
        <v/>
      </c>
      <c r="K5" s="7">
        <f>D5/C5</f>
        <v/>
      </c>
      <c r="L5" s="7">
        <f>E5/D5</f>
        <v/>
      </c>
      <c r="M5" s="7">
        <f>F5/E5</f>
        <v/>
      </c>
      <c r="N5" s="7">
        <f>G5/D5</f>
        <v/>
      </c>
    </row>
    <row r="6">
      <c r="A6" s="4" t="inlineStr">
        <is>
          <t>人数上限</t>
        </is>
      </c>
      <c r="B6" s="5" t="n">
        <v>1000</v>
      </c>
      <c r="C6" s="6" t="n">
        <v>4000</v>
      </c>
      <c r="D6" s="5" t="n">
        <v>20000</v>
      </c>
      <c r="E6" s="6" t="n">
        <v>160000</v>
      </c>
      <c r="F6" s="5" t="n">
        <v>80000</v>
      </c>
      <c r="G6" s="6" t="n">
        <v>15000</v>
      </c>
      <c r="I6" s="7" t="n">
        <v>1</v>
      </c>
      <c r="J6" s="7">
        <f>C6/B6</f>
        <v/>
      </c>
      <c r="K6" s="7">
        <f>D6/C6</f>
        <v/>
      </c>
      <c r="L6" s="7">
        <f>E6/D6</f>
        <v/>
      </c>
      <c r="M6" s="7">
        <f>F6/E6</f>
        <v/>
      </c>
      <c r="N6" s="7">
        <f>G6/D6</f>
        <v/>
      </c>
    </row>
    <row r="7">
      <c r="A7" s="4" t="inlineStr">
        <is>
          <t>兵力下限</t>
        </is>
      </c>
      <c r="B7" s="5" t="n">
        <v>25</v>
      </c>
      <c r="C7" s="6" t="n">
        <v>50</v>
      </c>
      <c r="D7" s="5" t="n">
        <v>150</v>
      </c>
      <c r="E7" s="6" t="n">
        <v>800</v>
      </c>
      <c r="F7" s="5" t="n">
        <v>600</v>
      </c>
      <c r="G7" s="6" t="n">
        <v>300</v>
      </c>
      <c r="I7" s="7" t="n">
        <v>1</v>
      </c>
      <c r="J7" s="7">
        <f>C7/B7</f>
        <v/>
      </c>
      <c r="K7" s="7">
        <f>D7/C7</f>
        <v/>
      </c>
      <c r="L7" s="7">
        <f>E7/D7</f>
        <v/>
      </c>
      <c r="M7" s="7">
        <f>F7/E7</f>
        <v/>
      </c>
      <c r="N7" s="7">
        <f>G7/D7</f>
        <v/>
      </c>
    </row>
    <row r="8">
      <c r="A8" s="4" t="inlineStr">
        <is>
          <t>兵力上限</t>
        </is>
      </c>
      <c r="B8" s="5" t="n">
        <v>100</v>
      </c>
      <c r="C8" s="6" t="n">
        <v>400</v>
      </c>
      <c r="D8" s="5" t="n">
        <v>2000</v>
      </c>
      <c r="E8" s="6" t="n">
        <v>16000</v>
      </c>
      <c r="F8" s="5" t="n">
        <v>8000</v>
      </c>
      <c r="G8" s="6" t="n">
        <v>8000</v>
      </c>
      <c r="I8" s="7" t="n">
        <v>1</v>
      </c>
      <c r="J8" s="7">
        <f>C8/B8</f>
        <v/>
      </c>
      <c r="K8" s="7">
        <f>D8/C8</f>
        <v/>
      </c>
      <c r="L8" s="7">
        <f>E8/D8</f>
        <v/>
      </c>
      <c r="M8" s="7">
        <f>F8/E8</f>
        <v/>
      </c>
      <c r="N8" s="7">
        <f>G8/D8</f>
        <v/>
      </c>
    </row>
    <row r="9">
      <c r="A9" s="4" t="inlineStr">
        <is>
          <t>面积下限</t>
        </is>
      </c>
      <c r="B9" s="5" t="n">
        <v>4</v>
      </c>
      <c r="C9" s="6" t="n">
        <v>40</v>
      </c>
      <c r="D9" s="5" t="n">
        <v>800</v>
      </c>
      <c r="E9" s="6" t="n">
        <v>100000</v>
      </c>
      <c r="F9" s="5" t="n">
        <v>10000</v>
      </c>
      <c r="G9" s="6" t="n">
        <v>1700</v>
      </c>
      <c r="I9" s="7" t="n">
        <v>1</v>
      </c>
      <c r="J9" s="7">
        <f>C9/B9</f>
        <v/>
      </c>
      <c r="K9" s="7">
        <f>D9/C9</f>
        <v/>
      </c>
      <c r="L9" s="7">
        <f>E9/D9</f>
        <v/>
      </c>
      <c r="M9" s="7">
        <f>F9/E9</f>
        <v/>
      </c>
      <c r="N9" s="7">
        <f>G9/D9</f>
        <v/>
      </c>
    </row>
    <row r="10">
      <c r="A10" s="4" t="inlineStr">
        <is>
          <t>面积上限</t>
        </is>
      </c>
      <c r="B10" s="5" t="n">
        <v>40</v>
      </c>
      <c r="C10" s="6" t="n">
        <v>1000</v>
      </c>
      <c r="D10" s="5" t="n">
        <v>8000</v>
      </c>
      <c r="E10" s="6" t="n">
        <v>600000</v>
      </c>
      <c r="F10" s="5" t="n">
        <v>50000</v>
      </c>
      <c r="G10" s="6" t="n">
        <v>4000</v>
      </c>
      <c r="I10" s="7" t="n">
        <v>1</v>
      </c>
      <c r="J10" s="7">
        <f>C10/B10</f>
        <v/>
      </c>
      <c r="K10" s="7">
        <f>D10/C10</f>
        <v/>
      </c>
      <c r="L10" s="7">
        <f>E10/D10</f>
        <v/>
      </c>
      <c r="M10" s="7">
        <f>F10/E10</f>
        <v/>
      </c>
      <c r="N10" s="7">
        <f>G10/D10</f>
        <v/>
      </c>
    </row>
    <row r="11">
      <c r="A11" s="4" t="inlineStr">
        <is>
          <t>制造下限</t>
        </is>
      </c>
      <c r="B11" s="5" t="n">
        <v>2</v>
      </c>
      <c r="C11" s="6" t="n">
        <v>8</v>
      </c>
      <c r="D11" s="5" t="n">
        <v>60</v>
      </c>
      <c r="E11" s="6" t="n">
        <v>2500</v>
      </c>
      <c r="F11" s="5" t="n">
        <v>800</v>
      </c>
      <c r="G11" s="6" t="n">
        <v>40</v>
      </c>
      <c r="I11" s="7" t="n">
        <v>1</v>
      </c>
      <c r="J11" s="7">
        <f>C11/B11</f>
        <v/>
      </c>
      <c r="K11" s="7">
        <f>D11/C11</f>
        <v/>
      </c>
      <c r="L11" s="7">
        <f>E11/D11</f>
        <v/>
      </c>
      <c r="M11" s="7">
        <f>F11/E11</f>
        <v/>
      </c>
      <c r="N11" s="7">
        <f>G11/D11</f>
        <v/>
      </c>
    </row>
    <row r="12">
      <c r="A12" s="4" t="inlineStr">
        <is>
          <t>制造上限</t>
        </is>
      </c>
      <c r="B12" s="5" t="n">
        <v>10</v>
      </c>
      <c r="C12" s="6" t="n">
        <v>60</v>
      </c>
      <c r="D12" s="5" t="n">
        <v>500</v>
      </c>
      <c r="E12" s="6" t="n">
        <v>20000</v>
      </c>
      <c r="F12" s="5" t="n">
        <v>5000</v>
      </c>
      <c r="G12" s="6" t="n">
        <v>400</v>
      </c>
      <c r="I12" s="7" t="n">
        <v>1</v>
      </c>
      <c r="J12" s="7">
        <f>C12/B12</f>
        <v/>
      </c>
      <c r="K12" s="7">
        <f>D12/C12</f>
        <v/>
      </c>
      <c r="L12" s="7">
        <f>E12/D12</f>
        <v/>
      </c>
      <c r="M12" s="7">
        <f>F12/E12</f>
        <v/>
      </c>
      <c r="N12" s="7">
        <f>G12/D12</f>
        <v/>
      </c>
    </row>
    <row r="13">
      <c r="A13" s="4" t="inlineStr">
        <is>
          <t>城防下限</t>
        </is>
      </c>
      <c r="B13" s="5" t="n">
        <v>1</v>
      </c>
      <c r="C13" s="6" t="n">
        <v>5</v>
      </c>
      <c r="D13" s="5" t="n">
        <v>40</v>
      </c>
      <c r="E13" s="6" t="n">
        <v>1500</v>
      </c>
      <c r="F13" s="5" t="n">
        <v>2000</v>
      </c>
      <c r="G13" s="6" t="n">
        <v>3000</v>
      </c>
      <c r="I13" s="7" t="n">
        <v>1</v>
      </c>
      <c r="J13" s="7">
        <f>C13/B13</f>
        <v/>
      </c>
      <c r="K13" s="7">
        <f>D13/C13</f>
        <v/>
      </c>
      <c r="L13" s="7">
        <f>E13/D13</f>
        <v/>
      </c>
      <c r="M13" s="7">
        <f>F13/E13</f>
        <v/>
      </c>
      <c r="N13" s="7">
        <f>G13/D13</f>
        <v/>
      </c>
    </row>
    <row r="14">
      <c r="A14" s="4" t="inlineStr">
        <is>
          <t>城防上限</t>
        </is>
      </c>
      <c r="B14" s="5" t="n">
        <v>5</v>
      </c>
      <c r="C14" s="6" t="n">
        <v>40</v>
      </c>
      <c r="D14" s="5" t="n">
        <v>300</v>
      </c>
      <c r="E14" s="6" t="n">
        <v>12000</v>
      </c>
      <c r="F14" s="5" t="n">
        <v>10000</v>
      </c>
      <c r="G14" s="6" t="n">
        <v>9000</v>
      </c>
      <c r="I14" s="7" t="n">
        <v>1</v>
      </c>
      <c r="J14" s="7">
        <f>C14/B14</f>
        <v/>
      </c>
      <c r="K14" s="7">
        <f>D14/C14</f>
        <v/>
      </c>
      <c r="L14" s="7">
        <f>E14/D14</f>
        <v/>
      </c>
      <c r="M14" s="7">
        <f>F14/E14</f>
        <v/>
      </c>
      <c r="N14" s="7">
        <f>G14/D14</f>
        <v/>
      </c>
    </row>
    <row r="15">
      <c r="A15" s="4" t="inlineStr">
        <is>
          <t>文化下限</t>
        </is>
      </c>
      <c r="B15" s="5" t="n">
        <v>1</v>
      </c>
      <c r="C15" s="6" t="n">
        <v>4</v>
      </c>
      <c r="D15" s="5" t="n">
        <v>25</v>
      </c>
      <c r="E15" s="6" t="n">
        <v>800</v>
      </c>
      <c r="F15" s="5" t="n">
        <v>1200</v>
      </c>
      <c r="G15" s="6" t="n">
        <v>15</v>
      </c>
      <c r="I15" s="7" t="n">
        <v>1</v>
      </c>
      <c r="J15" s="7">
        <f>C15/B15</f>
        <v/>
      </c>
      <c r="K15" s="7">
        <f>D15/C15</f>
        <v/>
      </c>
      <c r="L15" s="7">
        <f>E15/D15</f>
        <v/>
      </c>
      <c r="M15" s="7">
        <f>F15/E15</f>
        <v/>
      </c>
      <c r="N15" s="7">
        <f>G15/D15</f>
        <v/>
      </c>
    </row>
    <row r="16">
      <c r="A16" s="4" t="inlineStr">
        <is>
          <t>文化上限</t>
        </is>
      </c>
      <c r="B16" s="5" t="n">
        <v>5</v>
      </c>
      <c r="C16" s="6" t="n">
        <v>30</v>
      </c>
      <c r="D16" s="5" t="n">
        <v>200</v>
      </c>
      <c r="E16" s="6" t="n">
        <v>8000</v>
      </c>
      <c r="F16" s="5" t="n">
        <v>10000</v>
      </c>
      <c r="G16" s="6" t="n">
        <v>150</v>
      </c>
      <c r="I16" s="7" t="n">
        <v>1</v>
      </c>
      <c r="J16" s="7">
        <f>C16/B16</f>
        <v/>
      </c>
      <c r="K16" s="7">
        <f>D16/C16</f>
        <v/>
      </c>
      <c r="L16" s="7">
        <f>E16/D16</f>
        <v/>
      </c>
      <c r="M16" s="7">
        <f>F16/E16</f>
        <v/>
      </c>
      <c r="N16" s="7">
        <f>G16/D16</f>
        <v/>
      </c>
    </row>
    <row r="17">
      <c r="A17" s="4" t="inlineStr">
        <is>
          <t>经济下限</t>
        </is>
      </c>
      <c r="B17" s="5" t="n">
        <v>10</v>
      </c>
      <c r="C17" s="6" t="n">
        <v>50</v>
      </c>
      <c r="D17" s="5" t="n">
        <v>400</v>
      </c>
      <c r="E17" s="6" t="n">
        <v>15000</v>
      </c>
      <c r="F17" s="5" t="n">
        <v>8000</v>
      </c>
      <c r="G17" s="6" t="n">
        <v>300</v>
      </c>
      <c r="I17" s="7" t="n">
        <v>1</v>
      </c>
      <c r="J17" s="7">
        <f>C17/B17</f>
        <v/>
      </c>
      <c r="K17" s="7">
        <f>D17/C17</f>
        <v/>
      </c>
      <c r="L17" s="7">
        <f>E17/D17</f>
        <v/>
      </c>
      <c r="M17" s="7">
        <f>F17/E17</f>
        <v/>
      </c>
      <c r="N17" s="7">
        <f>G17/D17</f>
        <v/>
      </c>
    </row>
    <row r="18">
      <c r="A18" s="4" t="inlineStr">
        <is>
          <t>经济上限</t>
        </is>
      </c>
      <c r="B18" s="5" t="n">
        <v>50</v>
      </c>
      <c r="C18" s="6" t="n">
        <v>400</v>
      </c>
      <c r="D18" s="5" t="n">
        <v>3000</v>
      </c>
      <c r="E18" s="6" t="n">
        <v>120000</v>
      </c>
      <c r="F18" s="5" t="n">
        <v>50000</v>
      </c>
      <c r="G18" s="6" t="n">
        <v>2500</v>
      </c>
      <c r="I18" s="7" t="n">
        <v>1</v>
      </c>
      <c r="J18" s="7">
        <f>C18/B18</f>
        <v/>
      </c>
      <c r="K18" s="7">
        <f>D18/C18</f>
        <v/>
      </c>
      <c r="L18" s="7">
        <f>E18/D18</f>
        <v/>
      </c>
      <c r="M18" s="7">
        <f>F18/E18</f>
        <v/>
      </c>
      <c r="N18" s="7">
        <f>G18/D18</f>
        <v/>
      </c>
    </row>
    <row r="19">
      <c r="A19" s="4" t="inlineStr">
        <is>
          <t>产粮下限</t>
        </is>
      </c>
      <c r="B19" s="5" t="n">
        <v>20</v>
      </c>
      <c r="C19" s="6" t="n">
        <v>100</v>
      </c>
      <c r="D19" s="5" t="n">
        <v>800</v>
      </c>
      <c r="E19" s="6" t="n">
        <v>30000</v>
      </c>
      <c r="F19" s="5" t="n">
        <v>2000</v>
      </c>
      <c r="G19" s="6" t="n">
        <v>500</v>
      </c>
      <c r="I19" s="7" t="n">
        <v>1</v>
      </c>
      <c r="J19" s="7">
        <f>C19/B19</f>
        <v/>
      </c>
      <c r="K19" s="7">
        <f>D19/C19</f>
        <v/>
      </c>
      <c r="L19" s="7">
        <f>E19/D19</f>
        <v/>
      </c>
      <c r="M19" s="7">
        <f>F19/E19</f>
        <v/>
      </c>
      <c r="N19" s="7">
        <f>G19/D19</f>
        <v/>
      </c>
    </row>
    <row r="20">
      <c r="A20" s="4" t="inlineStr">
        <is>
          <t>产粮上限</t>
        </is>
      </c>
      <c r="B20" s="5" t="n">
        <v>100</v>
      </c>
      <c r="C20" s="6" t="n">
        <v>800</v>
      </c>
      <c r="D20" s="5" t="n">
        <v>6000</v>
      </c>
      <c r="E20" s="6" t="n">
        <v>200000</v>
      </c>
      <c r="F20" s="5" t="n">
        <v>15000</v>
      </c>
      <c r="G20" s="6" t="n">
        <v>4000</v>
      </c>
      <c r="I20" s="7" t="n">
        <v>1</v>
      </c>
      <c r="J20" s="7">
        <f>C20/B20</f>
        <v/>
      </c>
      <c r="K20" s="7">
        <f>D20/C20</f>
        <v/>
      </c>
      <c r="L20" s="7">
        <f>E20/D20</f>
        <v/>
      </c>
      <c r="M20" s="7">
        <f>F20/E20</f>
        <v/>
      </c>
      <c r="N20" s="7">
        <f>G20/D20</f>
        <v/>
      </c>
    </row>
    <row r="21">
      <c r="A21" s="4" t="inlineStr">
        <is>
          <t>建筑下限</t>
        </is>
      </c>
      <c r="B21" s="5" t="n">
        <v>1</v>
      </c>
      <c r="C21" s="6" t="n">
        <v>4</v>
      </c>
      <c r="D21" s="5" t="n">
        <v>20</v>
      </c>
      <c r="E21" s="6" t="n">
        <v>600</v>
      </c>
      <c r="F21" s="5" t="n">
        <v>400</v>
      </c>
      <c r="G21" s="6" t="n">
        <v>30</v>
      </c>
      <c r="I21" s="7" t="n">
        <v>1</v>
      </c>
      <c r="J21" s="7">
        <f>C21/B21</f>
        <v/>
      </c>
      <c r="K21" s="7">
        <f>D21/C21</f>
        <v/>
      </c>
      <c r="L21" s="7">
        <f>E21/D21</f>
        <v/>
      </c>
      <c r="M21" s="7">
        <f>F21/E21</f>
        <v/>
      </c>
      <c r="N21" s="7">
        <f>G21/D21</f>
        <v/>
      </c>
    </row>
    <row r="22">
      <c r="A22" s="4" t="inlineStr">
        <is>
          <t>建筑上限</t>
        </is>
      </c>
      <c r="B22" s="5" t="n">
        <v>5</v>
      </c>
      <c r="C22" s="6" t="n">
        <v>30</v>
      </c>
      <c r="D22" s="5" t="n">
        <v>200</v>
      </c>
      <c r="E22" s="6" t="n">
        <v>8000</v>
      </c>
      <c r="F22" s="5" t="n">
        <v>5000</v>
      </c>
      <c r="G22" s="6" t="n">
        <v>250</v>
      </c>
      <c r="I22" s="7" t="n">
        <v>1</v>
      </c>
      <c r="J22" s="7">
        <f>C22/B22</f>
        <v/>
      </c>
      <c r="K22" s="7">
        <f>D22/C22</f>
        <v/>
      </c>
      <c r="L22" s="7">
        <f>E22/D22</f>
        <v/>
      </c>
      <c r="M22" s="7">
        <f>F22/E22</f>
        <v/>
      </c>
      <c r="N22" s="7">
        <f>G22/D22</f>
        <v/>
      </c>
    </row>
    <row r="24">
      <c r="A24" s="8" t="inlineStr">
        <is>
          <t>口径：面积单位为 km²；人数/兵力/制造/城防/文化/经济/产粮/建筑均为单位内的总量上下限。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10" t="n"/>
    </row>
    <row r="25">
      <c r="A25" s="8" t="inlineStr">
        <is>
          <t>要塞C6 为防御区：面积按 0.5–1.2 个县设定（县区间 800–8000 → 要塞 1700–4000 km²）；兵力/城防偏高、产粮/文化偏低。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10" t="n"/>
    </row>
    <row r="26">
      <c r="A26" s="8" t="inlineStr">
        <is>
          <t>京畿C5 为首都圈：面积按 3–15 个县（1万–5万 km²）；城防/文化为全国最高，人口低于单个郡。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10" t="n"/>
    </row>
    <row r="27">
      <c r="A27" s="8" t="inlineStr">
        <is>
          <t>倍率区块为公式自动计算：京畿倍率=京畿/郡（相对郡），要塞倍率=要塞/县（相对县）。改区块一数值，倍率自动更新。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10" t="n"/>
    </row>
  </sheetData>
  <mergeCells count="7">
    <mergeCell ref="A27:N27"/>
    <mergeCell ref="A3:G3"/>
    <mergeCell ref="A26:N26"/>
    <mergeCell ref="A24:N24"/>
    <mergeCell ref="A25:N25"/>
    <mergeCell ref="I3:N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2">
      <c r="B2" s="3" t="inlineStr">
        <is>
          <t>平民</t>
        </is>
      </c>
      <c r="C2" s="3" t="inlineStr">
        <is>
          <t>地民</t>
        </is>
      </c>
      <c r="D2" s="3" t="inlineStr">
        <is>
          <t>轻步</t>
        </is>
      </c>
      <c r="E2" s="3" t="inlineStr">
        <is>
          <t>重步</t>
        </is>
      </c>
      <c r="F2" s="3" t="inlineStr">
        <is>
          <t>枪兵</t>
        </is>
      </c>
      <c r="G2" s="3" t="inlineStr">
        <is>
          <t>轻骑兵</t>
        </is>
      </c>
      <c r="H2" s="3" t="inlineStr">
        <is>
          <t>重骑兵</t>
        </is>
      </c>
      <c r="I2" s="3" t="inlineStr">
        <is>
          <t>特殊骑兵</t>
        </is>
      </c>
      <c r="J2" s="3" t="inlineStr">
        <is>
          <t>步弓兵</t>
        </is>
      </c>
      <c r="K2" s="3" t="inlineStr">
        <is>
          <t>骑射手</t>
        </is>
      </c>
      <c r="L2" s="3" t="inlineStr">
        <is>
          <t>步投</t>
        </is>
      </c>
      <c r="M2" s="3" t="inlineStr">
        <is>
          <t>骑投</t>
        </is>
      </c>
    </row>
    <row r="3">
      <c r="B3" s="11" t="inlineStr">
        <is>
          <t>B1</t>
        </is>
      </c>
      <c r="C3" s="11" t="inlineStr">
        <is>
          <t>B2</t>
        </is>
      </c>
      <c r="D3" s="11" t="inlineStr">
        <is>
          <t>B3</t>
        </is>
      </c>
      <c r="E3" s="11" t="inlineStr">
        <is>
          <t>B4</t>
        </is>
      </c>
      <c r="F3" s="11" t="inlineStr">
        <is>
          <t>B5</t>
        </is>
      </c>
      <c r="G3" s="11" t="inlineStr">
        <is>
          <t>B6</t>
        </is>
      </c>
      <c r="H3" s="11" t="inlineStr">
        <is>
          <t>B7</t>
        </is>
      </c>
      <c r="I3" s="11" t="inlineStr">
        <is>
          <t>B8</t>
        </is>
      </c>
      <c r="J3" s="11" t="inlineStr">
        <is>
          <t>B9</t>
        </is>
      </c>
      <c r="K3" s="11" t="inlineStr">
        <is>
          <t>B10</t>
        </is>
      </c>
      <c r="L3" s="11" t="inlineStr">
        <is>
          <t>B11</t>
        </is>
      </c>
      <c r="M3" s="11" t="inlineStr">
        <is>
          <t>B12</t>
        </is>
      </c>
    </row>
    <row r="4">
      <c r="A4" s="4" t="inlineStr">
        <is>
          <t>G1青岚</t>
        </is>
      </c>
      <c r="B4" s="12" t="n">
        <v>5</v>
      </c>
      <c r="C4" s="12" t="n">
        <v>3</v>
      </c>
      <c r="D4" s="12" t="n">
        <v>2</v>
      </c>
      <c r="E4" s="12" t="n">
        <v>2</v>
      </c>
      <c r="F4" s="12" t="n">
        <v>3</v>
      </c>
      <c r="G4" s="12" t="n">
        <v>4</v>
      </c>
      <c r="H4" s="12" t="n">
        <v>4</v>
      </c>
      <c r="I4" s="12" t="n">
        <v>3</v>
      </c>
      <c r="J4" s="12" t="n">
        <v>5</v>
      </c>
      <c r="K4" s="12" t="n">
        <v>5</v>
      </c>
      <c r="L4" s="12" t="n">
        <v>3</v>
      </c>
      <c r="M4" s="12" t="n">
        <v>4</v>
      </c>
    </row>
    <row r="5">
      <c r="A5" s="4" t="inlineStr">
        <is>
          <t>G2苍羽</t>
        </is>
      </c>
      <c r="B5" s="12" t="n">
        <v>5</v>
      </c>
      <c r="C5" s="12" t="n">
        <v>3</v>
      </c>
      <c r="D5" s="12" t="n">
        <v>3</v>
      </c>
      <c r="E5" s="12" t="n">
        <v>4</v>
      </c>
      <c r="F5" s="12" t="n">
        <v>4</v>
      </c>
      <c r="G5" s="12" t="n">
        <v>3</v>
      </c>
      <c r="H5" s="12" t="n">
        <v>3</v>
      </c>
      <c r="I5" s="12" t="n">
        <v>3</v>
      </c>
      <c r="J5" s="12" t="n">
        <v>5</v>
      </c>
      <c r="K5" s="12" t="n">
        <v>4</v>
      </c>
      <c r="L5" s="12" t="n">
        <v>3</v>
      </c>
      <c r="M5" s="12" t="n">
        <v>3</v>
      </c>
    </row>
    <row r="6">
      <c r="A6" s="4" t="inlineStr">
        <is>
          <t>G3百岭</t>
        </is>
      </c>
      <c r="B6" s="12" t="n">
        <v>5</v>
      </c>
      <c r="C6" s="12" t="n">
        <v>3</v>
      </c>
      <c r="D6" s="12" t="n">
        <v>5</v>
      </c>
      <c r="E6" s="12" t="n">
        <v>5</v>
      </c>
      <c r="F6" s="12" t="n">
        <v>4</v>
      </c>
      <c r="G6" s="12" t="n">
        <v>3</v>
      </c>
      <c r="H6" s="12" t="n">
        <v>3</v>
      </c>
      <c r="I6" s="12" t="n">
        <v>2</v>
      </c>
      <c r="J6" s="12" t="n">
        <v>4</v>
      </c>
      <c r="K6" s="12" t="n">
        <v>3</v>
      </c>
      <c r="L6" s="12" t="n">
        <v>3</v>
      </c>
      <c r="M6" s="12" t="n">
        <v>3</v>
      </c>
    </row>
    <row r="7">
      <c r="A7" s="4" t="inlineStr">
        <is>
          <t>G4炽焰</t>
        </is>
      </c>
      <c r="B7" s="12" t="n">
        <v>5</v>
      </c>
      <c r="C7" s="12" t="n">
        <v>3</v>
      </c>
      <c r="D7" s="12" t="n">
        <v>5</v>
      </c>
      <c r="E7" s="12" t="n">
        <v>3</v>
      </c>
      <c r="F7" s="12" t="n">
        <v>4</v>
      </c>
      <c r="G7" s="12" t="n">
        <v>3</v>
      </c>
      <c r="H7" s="12" t="n">
        <v>2</v>
      </c>
      <c r="I7" s="12" t="n">
        <v>3</v>
      </c>
      <c r="J7" s="12" t="n">
        <v>4</v>
      </c>
      <c r="K7" s="12" t="n">
        <v>3</v>
      </c>
      <c r="L7" s="12" t="n">
        <v>5</v>
      </c>
      <c r="M7" s="12" t="n">
        <v>3</v>
      </c>
    </row>
    <row r="8">
      <c r="A8" s="4" t="inlineStr">
        <is>
          <t>G5玄戈</t>
        </is>
      </c>
      <c r="B8" s="12" t="n">
        <v>4</v>
      </c>
      <c r="C8" s="12" t="n">
        <v>4</v>
      </c>
      <c r="D8" s="12" t="n">
        <v>4</v>
      </c>
      <c r="E8" s="12" t="n">
        <v>5</v>
      </c>
      <c r="F8" s="12" t="n">
        <v>3</v>
      </c>
      <c r="G8" s="12" t="n">
        <v>3</v>
      </c>
      <c r="H8" s="12" t="n">
        <v>3</v>
      </c>
      <c r="I8" s="12" t="n">
        <v>3</v>
      </c>
      <c r="J8" s="12" t="n">
        <v>3</v>
      </c>
      <c r="K8" s="12" t="n">
        <v>3</v>
      </c>
      <c r="L8" s="12" t="n">
        <v>5</v>
      </c>
      <c r="M8" s="12" t="n">
        <v>3</v>
      </c>
    </row>
    <row r="9">
      <c r="A9" s="4" t="inlineStr">
        <is>
          <t>G6昆岳</t>
        </is>
      </c>
      <c r="B9" s="12" t="n">
        <v>4</v>
      </c>
      <c r="C9" s="12" t="n">
        <v>4</v>
      </c>
      <c r="D9" s="12" t="n">
        <v>3</v>
      </c>
      <c r="E9" s="12" t="n">
        <v>3</v>
      </c>
      <c r="F9" s="12" t="n">
        <v>2</v>
      </c>
      <c r="G9" s="12" t="n">
        <v>4</v>
      </c>
      <c r="H9" s="12" t="n">
        <v>4</v>
      </c>
      <c r="I9" s="12" t="n">
        <v>5</v>
      </c>
      <c r="J9" s="12" t="n">
        <v>3</v>
      </c>
      <c r="K9" s="12" t="n">
        <v>3</v>
      </c>
      <c r="L9" s="12" t="n">
        <v>3</v>
      </c>
      <c r="M9" s="12" t="n">
        <v>5</v>
      </c>
    </row>
    <row r="10">
      <c r="A10" s="4" t="inlineStr">
        <is>
          <t>G7朔风</t>
        </is>
      </c>
      <c r="B10" s="12" t="n">
        <v>3</v>
      </c>
      <c r="C10" s="12" t="n">
        <v>5</v>
      </c>
      <c r="D10" s="12" t="n">
        <v>2</v>
      </c>
      <c r="E10" s="12" t="n">
        <v>2</v>
      </c>
      <c r="F10" s="12" t="n">
        <v>2</v>
      </c>
      <c r="G10" s="12" t="n">
        <v>5</v>
      </c>
      <c r="H10" s="12" t="n">
        <v>5</v>
      </c>
      <c r="I10" s="12" t="n">
        <v>5</v>
      </c>
      <c r="J10" s="12" t="n">
        <v>2</v>
      </c>
      <c r="K10" s="12" t="n">
        <v>5</v>
      </c>
      <c r="L10" s="12" t="n">
        <v>2</v>
      </c>
      <c r="M10" s="12" t="n">
        <v>5</v>
      </c>
    </row>
    <row r="11">
      <c r="A11" s="4" t="inlineStr">
        <is>
          <t>G8烈庭</t>
        </is>
      </c>
      <c r="B11" s="12" t="n">
        <v>3</v>
      </c>
      <c r="C11" s="12" t="n">
        <v>5</v>
      </c>
      <c r="D11" s="12" t="n">
        <v>3</v>
      </c>
      <c r="E11" s="12" t="n">
        <v>2</v>
      </c>
      <c r="F11" s="12" t="n">
        <v>3</v>
      </c>
      <c r="G11" s="12" t="n">
        <v>5</v>
      </c>
      <c r="H11" s="12" t="n">
        <v>5</v>
      </c>
      <c r="I11" s="12" t="n">
        <v>4</v>
      </c>
      <c r="J11" s="12" t="n">
        <v>3</v>
      </c>
      <c r="K11" s="12" t="n">
        <v>5</v>
      </c>
      <c r="L11" s="12" t="n">
        <v>2</v>
      </c>
      <c r="M11" s="12" t="n">
        <v>3</v>
      </c>
    </row>
    <row r="12">
      <c r="A12" s="4" t="inlineStr">
        <is>
          <t>G9天衡</t>
        </is>
      </c>
      <c r="B12" s="12" t="n">
        <v>4</v>
      </c>
      <c r="C12" s="12" t="n">
        <v>5</v>
      </c>
      <c r="D12" s="12" t="n">
        <v>4</v>
      </c>
      <c r="E12" s="12" t="n">
        <v>4</v>
      </c>
      <c r="F12" s="12" t="n">
        <v>5</v>
      </c>
      <c r="G12" s="12" t="n">
        <v>4</v>
      </c>
      <c r="H12" s="12" t="n">
        <v>4</v>
      </c>
      <c r="I12" s="12" t="n">
        <v>3</v>
      </c>
      <c r="J12" s="12" t="n">
        <v>4</v>
      </c>
      <c r="K12" s="12" t="n">
        <v>4</v>
      </c>
      <c r="L12" s="12" t="n">
        <v>3</v>
      </c>
      <c r="M12" s="12" t="n">
        <v>3</v>
      </c>
    </row>
    <row r="13">
      <c r="A13" s="4" t="inlineStr">
        <is>
          <t>G10昭武</t>
        </is>
      </c>
      <c r="B13" s="12" t="n">
        <v>5</v>
      </c>
      <c r="C13" s="12" t="n">
        <v>4</v>
      </c>
      <c r="D13" s="12" t="n">
        <v>4</v>
      </c>
      <c r="E13" s="12" t="n">
        <v>5</v>
      </c>
      <c r="F13" s="12" t="n">
        <v>4</v>
      </c>
      <c r="G13" s="12" t="n">
        <v>4</v>
      </c>
      <c r="H13" s="12" t="n">
        <v>4</v>
      </c>
      <c r="I13" s="12" t="n">
        <v>3</v>
      </c>
      <c r="J13" s="12" t="n">
        <v>4</v>
      </c>
      <c r="K13" s="12" t="n">
        <v>4</v>
      </c>
      <c r="L13" s="12" t="n">
        <v>3</v>
      </c>
      <c r="M13" s="1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20" customWidth="1" min="10" max="10"/>
  </cols>
  <sheetData>
    <row r="1" ht="26" customHeight="1">
      <c r="A1" s="1" t="inlineStr">
        <is>
          <t>各国面积与区划数量（面积按领土权重分配 960万km²；兵力比例不在本表，见十国行政区划）</t>
        </is>
      </c>
    </row>
    <row r="3">
      <c r="A3" s="3" t="inlineStr">
        <is>
          <t>国家</t>
        </is>
      </c>
      <c r="B3" s="3" t="inlineStr">
        <is>
          <t>里/村</t>
        </is>
      </c>
      <c r="C3" s="3" t="inlineStr">
        <is>
          <t>乡</t>
        </is>
      </c>
      <c r="D3" s="3" t="inlineStr">
        <is>
          <t>县</t>
        </is>
      </c>
      <c r="E3" s="3" t="inlineStr">
        <is>
          <t>郡/国</t>
        </is>
      </c>
      <c r="F3" s="3" t="inlineStr">
        <is>
          <t>京畿</t>
        </is>
      </c>
      <c r="G3" s="3" t="inlineStr">
        <is>
          <t>要塞</t>
        </is>
      </c>
      <c r="H3" s="3" t="inlineStr">
        <is>
          <t>面积(km²)</t>
        </is>
      </c>
      <c r="I3" s="3" t="inlineStr">
        <is>
          <t>领土权重</t>
        </is>
      </c>
      <c r="J3" s="3" t="inlineStr">
        <is>
          <t>备注</t>
        </is>
      </c>
    </row>
    <row r="4">
      <c r="A4" s="11" t="inlineStr">
        <is>
          <t>G1 青岚</t>
        </is>
      </c>
      <c r="B4" s="6">
        <f>ROUND(H4/16,0)</f>
        <v/>
      </c>
      <c r="C4" s="6">
        <f>ROUND(H4/253,0)</f>
        <v/>
      </c>
      <c r="D4" s="6">
        <f>ROUND(H4/3375,0)</f>
        <v/>
      </c>
      <c r="E4" s="6">
        <f>MAX(1,ROUND(H4/240000,0))</f>
        <v/>
      </c>
      <c r="F4" s="6" t="n">
        <v>1</v>
      </c>
      <c r="G4" s="6" t="n">
        <v>2</v>
      </c>
      <c r="H4" s="6">
        <f>ROUND(9600000*I4/SUM($I$4:$I$13),0)</f>
        <v/>
      </c>
      <c r="I4" s="6" t="n">
        <v>34</v>
      </c>
      <c r="J4" s="11" t="inlineStr">
        <is>
          <t>东方·岚射坞</t>
        </is>
      </c>
    </row>
    <row r="5">
      <c r="A5" s="13" t="inlineStr">
        <is>
          <t>G2 苍羽</t>
        </is>
      </c>
      <c r="B5" s="14">
        <f>ROUND(H5/16,0)</f>
        <v/>
      </c>
      <c r="C5" s="14">
        <f>ROUND(H5/253,0)</f>
        <v/>
      </c>
      <c r="D5" s="14">
        <f>ROUND(H5/3375,0)</f>
        <v/>
      </c>
      <c r="E5" s="14">
        <f>MAX(1,ROUND(H5/240000,0))</f>
        <v/>
      </c>
      <c r="F5" s="14" t="n">
        <v>1</v>
      </c>
      <c r="G5" s="14" t="n">
        <v>2</v>
      </c>
      <c r="H5" s="14">
        <f>ROUND(9600000*I5/SUM($I$4:$I$13),0)</f>
        <v/>
      </c>
      <c r="I5" s="14" t="n">
        <v>32</v>
      </c>
      <c r="J5" s="13" t="inlineStr">
        <is>
          <t>东方·丘政城</t>
        </is>
      </c>
    </row>
    <row r="6">
      <c r="A6" s="11" t="inlineStr">
        <is>
          <t>G3 百岭</t>
        </is>
      </c>
      <c r="B6" s="6">
        <f>ROUND(H6/16,0)</f>
        <v/>
      </c>
      <c r="C6" s="6">
        <f>ROUND(H6/253,0)</f>
        <v/>
      </c>
      <c r="D6" s="6">
        <f>ROUND(H6/3375,0)</f>
        <v/>
      </c>
      <c r="E6" s="6">
        <f>MAX(1,ROUND(H6/240000,0))</f>
        <v/>
      </c>
      <c r="F6" s="6" t="n">
        <v>1</v>
      </c>
      <c r="G6" s="6" t="n">
        <v>2</v>
      </c>
      <c r="H6" s="6">
        <f>ROUND(9600000*I6/SUM($I$4:$I$13),0)</f>
        <v/>
      </c>
      <c r="I6" s="6" t="n">
        <v>26</v>
      </c>
      <c r="J6" s="11" t="inlineStr">
        <is>
          <t>南方·湖市</t>
        </is>
      </c>
    </row>
    <row r="7">
      <c r="A7" s="13" t="inlineStr">
        <is>
          <t>G4 炽焰</t>
        </is>
      </c>
      <c r="B7" s="14">
        <f>ROUND(H7/16,0)</f>
        <v/>
      </c>
      <c r="C7" s="14">
        <f>ROUND(H7/253,0)</f>
        <v/>
      </c>
      <c r="D7" s="14">
        <f>ROUND(H7/3375,0)</f>
        <v/>
      </c>
      <c r="E7" s="14">
        <f>MAX(1,ROUND(H7/240000,0))</f>
        <v/>
      </c>
      <c r="F7" s="14" t="n">
        <v>1</v>
      </c>
      <c r="G7" s="14" t="n">
        <v>2</v>
      </c>
      <c r="H7" s="14">
        <f>ROUND(9600000*I7/SUM($I$4:$I$13),0)</f>
        <v/>
      </c>
      <c r="I7" s="14" t="n">
        <v>22</v>
      </c>
      <c r="J7" s="13" t="inlineStr">
        <is>
          <t>南方·焰仓</t>
        </is>
      </c>
    </row>
    <row r="8">
      <c r="A8" s="11" t="inlineStr">
        <is>
          <t>G5 玄戈</t>
        </is>
      </c>
      <c r="B8" s="6">
        <f>ROUND(H8/16,0)</f>
        <v/>
      </c>
      <c r="C8" s="6">
        <f>ROUND(H8/253,0)</f>
        <v/>
      </c>
      <c r="D8" s="6">
        <f>ROUND(H8/3375,0)</f>
        <v/>
      </c>
      <c r="E8" s="6">
        <f>MAX(1,ROUND(H8/240000,0))</f>
        <v/>
      </c>
      <c r="F8" s="6" t="n">
        <v>1</v>
      </c>
      <c r="G8" s="6" t="n">
        <v>3</v>
      </c>
      <c r="H8" s="6">
        <f>ROUND(9600000*I8/SUM($I$4:$I$13),0)</f>
        <v/>
      </c>
      <c r="I8" s="6" t="n">
        <v>58</v>
      </c>
      <c r="J8" s="11" t="inlineStr">
        <is>
          <t>西方·陷阵营</t>
        </is>
      </c>
    </row>
    <row r="9">
      <c r="A9" s="13" t="inlineStr">
        <is>
          <t>G6 昆岳</t>
        </is>
      </c>
      <c r="B9" s="14">
        <f>ROUND(H9/16,0)</f>
        <v/>
      </c>
      <c r="C9" s="14">
        <f>ROUND(H9/253,0)</f>
        <v/>
      </c>
      <c r="D9" s="14">
        <f>ROUND(H9/3375,0)</f>
        <v/>
      </c>
      <c r="E9" s="14">
        <f>MAX(1,ROUND(H9/240000,0))</f>
        <v/>
      </c>
      <c r="F9" s="14" t="n">
        <v>1</v>
      </c>
      <c r="G9" s="14" t="n">
        <v>3</v>
      </c>
      <c r="H9" s="14">
        <f>ROUND(9600000*I9/SUM($I$4:$I$13),0)</f>
        <v/>
      </c>
      <c r="I9" s="14" t="n">
        <v>68</v>
      </c>
      <c r="J9" s="13" t="inlineStr">
        <is>
          <t>西方·岳骑原</t>
        </is>
      </c>
    </row>
    <row r="10">
      <c r="A10" s="11" t="inlineStr">
        <is>
          <t>G7 朔风</t>
        </is>
      </c>
      <c r="B10" s="6">
        <f>ROUND(H10/16,0)</f>
        <v/>
      </c>
      <c r="C10" s="6">
        <f>ROUND(H10/253,0)</f>
        <v/>
      </c>
      <c r="D10" s="6">
        <f>ROUND(H10/3375,0)</f>
        <v/>
      </c>
      <c r="E10" s="6">
        <f>MAX(1,ROUND(H10/240000,0))</f>
        <v/>
      </c>
      <c r="F10" s="6" t="n">
        <v>1</v>
      </c>
      <c r="G10" s="6" t="n">
        <v>3</v>
      </c>
      <c r="H10" s="6">
        <f>ROUND(9600000*I10/SUM($I$4:$I$13),0)</f>
        <v/>
      </c>
      <c r="I10" s="6" t="n">
        <v>56</v>
      </c>
      <c r="J10" s="11" t="inlineStr">
        <is>
          <t>北方·风骑营</t>
        </is>
      </c>
    </row>
    <row r="11">
      <c r="A11" s="13" t="inlineStr">
        <is>
          <t>G8 烈庭</t>
        </is>
      </c>
      <c r="B11" s="14">
        <f>ROUND(H11/16,0)</f>
        <v/>
      </c>
      <c r="C11" s="14">
        <f>ROUND(H11/253,0)</f>
        <v/>
      </c>
      <c r="D11" s="14">
        <f>ROUND(H11/3375,0)</f>
        <v/>
      </c>
      <c r="E11" s="14">
        <f>MAX(1,ROUND(H11/240000,0))</f>
        <v/>
      </c>
      <c r="F11" s="14" t="n">
        <v>1</v>
      </c>
      <c r="G11" s="14" t="n">
        <v>3</v>
      </c>
      <c r="H11" s="14">
        <f>ROUND(9600000*I11/SUM($I$4:$I$13),0)</f>
        <v/>
      </c>
      <c r="I11" s="14" t="n">
        <v>52</v>
      </c>
      <c r="J11" s="13" t="inlineStr">
        <is>
          <t>北方·庭帐</t>
        </is>
      </c>
    </row>
    <row r="12">
      <c r="A12" s="11" t="inlineStr">
        <is>
          <t>G9 天衡</t>
        </is>
      </c>
      <c r="B12" s="6">
        <f>ROUND(H12/16,0)</f>
        <v/>
      </c>
      <c r="C12" s="6">
        <f>ROUND(H12/253,0)</f>
        <v/>
      </c>
      <c r="D12" s="6">
        <f>ROUND(H12/3375,0)</f>
        <v/>
      </c>
      <c r="E12" s="6">
        <f>MAX(1,ROUND(H12/240000,0))</f>
        <v/>
      </c>
      <c r="F12" s="6" t="n">
        <v>1</v>
      </c>
      <c r="G12" s="6" t="n">
        <v>2</v>
      </c>
      <c r="H12" s="6">
        <f>ROUND(9600000*I12/SUM($I$4:$I$13),0)</f>
        <v/>
      </c>
      <c r="I12" s="6" t="n">
        <v>48</v>
      </c>
      <c r="J12" s="11" t="inlineStr">
        <is>
          <t>中原·衡邑</t>
        </is>
      </c>
    </row>
    <row r="13">
      <c r="A13" s="13" t="inlineStr">
        <is>
          <t>G10 昭武</t>
        </is>
      </c>
      <c r="B13" s="14">
        <f>ROUND(H13/16,0)</f>
        <v/>
      </c>
      <c r="C13" s="14">
        <f>ROUND(H13/253,0)</f>
        <v/>
      </c>
      <c r="D13" s="14">
        <f>ROUND(H13/3375,0)</f>
        <v/>
      </c>
      <c r="E13" s="14">
        <f>MAX(1,ROUND(H13/240000,0))</f>
        <v/>
      </c>
      <c r="F13" s="14" t="n">
        <v>1</v>
      </c>
      <c r="G13" s="14" t="n">
        <v>2</v>
      </c>
      <c r="H13" s="14">
        <f>ROUND(9600000*I13/SUM($I$4:$I$13),0)</f>
        <v/>
      </c>
      <c r="I13" s="14" t="n">
        <v>42</v>
      </c>
      <c r="J13" s="13" t="inlineStr">
        <is>
          <t>中原·武库</t>
        </is>
      </c>
    </row>
    <row r="15">
      <c r="A15" s="15" t="inlineStr">
        <is>
          <t>面积=960万×领土权重/权重合计(438)。兵力不在本表。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10" t="n"/>
    </row>
  </sheetData>
  <mergeCells count="2">
    <mergeCell ref="A15:J15"/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6" t="inlineStr">
        <is>
          <t>使用说明与口径</t>
        </is>
      </c>
    </row>
    <row r="3" ht="30" customHeight="1">
      <c r="A3" s="4" t="inlineStr">
        <is>
          <t>这是什么</t>
        </is>
      </c>
      <c r="B3" s="15" t="inlineStr">
        <is>
          <t>行政区域规则的可编辑工作簿。各国差异、兵役和明星聚集地不在本表手填，改 特征/ 后运行 generate_regions.py。</t>
        </is>
      </c>
    </row>
    <row r="4" ht="30" customHeight="1">
      <c r="A4" s="4" t="inlineStr">
        <is>
          <t>区块一（可编辑）</t>
        </is>
      </c>
      <c r="B4" s="15" t="inlineStr">
        <is>
          <t>行政区域规则·区块一是窗口输入：改任意下限/上限，区块二倍率自动重算。要塞按 0.5–1.2 县、京畿按 3–15 县设定。</t>
        </is>
      </c>
    </row>
    <row r="5" ht="16" customHeight="1">
      <c r="A5" s="4" t="inlineStr">
        <is>
          <t>区块二（自动）</t>
        </is>
      </c>
      <c r="B5" s="15" t="inlineStr">
        <is>
          <t>倍率为公式：京畿倍率相对郡、要塞倍率相对县。</t>
        </is>
      </c>
    </row>
    <row r="6" ht="30" customHeight="1">
      <c r="A6" s="4" t="inlineStr">
        <is>
          <t>城市数据（自动）</t>
        </is>
      </c>
      <c r="B6" s="15" t="inlineStr">
        <is>
          <t>面积=960万×领土权重/权重合计。里/村÷16、乡÷253、县÷3375、郡÷240000。京畿每国 1 个。要塞座数来自国家特征。</t>
        </is>
      </c>
    </row>
    <row r="7" ht="16" customHeight="1">
      <c r="A7" s="4" t="inlineStr">
        <is>
          <t>兵种强度</t>
        </is>
      </c>
      <c r="B7" s="15" t="inlineStr">
        <is>
          <t>B1–B12 的 Q 值，只供兵种参照。区划面积不使用这张表的合计。</t>
        </is>
      </c>
    </row>
    <row r="8" ht="30" customHeight="1">
      <c r="A8" s="4" t="inlineStr">
        <is>
          <t>兵力</t>
        </is>
      </c>
      <c r="B8" s="15" t="inlineStr">
        <is>
          <t>常备是息民 5%、守成 8%、经武 10%、整军 11%、穷兵 12%。中原取经武，为十国中位数。国势加征随世界变化，不计入常备。</t>
        </is>
      </c>
    </row>
    <row r="9" ht="16" customHeight="1">
      <c r="A9" s="4" t="inlineStr">
        <is>
          <t>联动提醒</t>
        </is>
      </c>
      <c r="B9" s="15" t="inlineStr">
        <is>
          <t>改区块一的面积区间，不会反向改城市数量。数量由平均面积和领土权重决定。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2026-10-16T09:58:25Z</dcterms:created>
  <dcterms:modified xmlns:dcterms="http://purl.org/dc/terms/" xmlns:xsi="http://www.w3.org/2001/XMLSchema-instance" xsi:type="dcterms:W3CDTF">2026-10-16T09:58:25Z</dcterms:modified>
</cp:coreProperties>
</file>